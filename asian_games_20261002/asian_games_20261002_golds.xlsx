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透视" sheetId="2" state="visible" r:id="rId2"/>
    <sheet name="口径说明" sheetId="3" state="visible" r:id="rId3"/>
    <sheet name="数据来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7" customWidth="1" min="3" max="3"/>
    <col width="13" customWidth="1" min="4" max="4"/>
    <col width="30" customWidth="1" min="5" max="5"/>
    <col width="36" customWidth="1" min="6" max="6"/>
  </cols>
  <sheetData>
    <row r="1">
      <c r="A1" s="1" t="inlineStr">
        <is>
          <t>第20届亚运会（爱知·名古屋 2026）— 2026-10-02 金牌明细（第13比赛日，全天已结束）</t>
        </is>
      </c>
    </row>
    <row r="3">
      <c r="A3" s="2" t="inlineStr">
        <is>
          <t>序号</t>
        </is>
      </c>
      <c r="B3" s="2" t="inlineStr">
        <is>
          <t>大项</t>
        </is>
      </c>
      <c r="C3" s="2" t="inlineStr">
        <is>
          <t>分项</t>
        </is>
      </c>
      <c r="D3" s="2" t="inlineStr">
        <is>
          <t>冠军代表团</t>
        </is>
      </c>
      <c r="E3" s="2" t="inlineStr">
        <is>
          <t>冠军/队伍</t>
        </is>
      </c>
      <c r="F3" s="2" t="inlineStr">
        <is>
          <t>备注</t>
        </is>
      </c>
    </row>
    <row r="4">
      <c r="A4" s="3" t="n">
        <v>1</v>
      </c>
      <c r="B4" s="4" t="inlineStr">
        <is>
          <t>拳击</t>
        </is>
      </c>
      <c r="C4" s="4" t="inlineStr">
        <is>
          <t>男子55公斤级</t>
        </is>
      </c>
      <c r="D4" s="4" t="inlineStr">
        <is>
          <t>日本</t>
        </is>
      </c>
      <c r="E4" s="4" t="inlineStr">
        <is>
          <t>山口来生</t>
        </is>
      </c>
      <c r="F4" s="4" t="inlineStr">
        <is>
          <t>3:2 胜菲律宾帕阿兰，日本52年来该级别首金</t>
        </is>
      </c>
    </row>
    <row r="5">
      <c r="A5" s="3" t="n">
        <v>2</v>
      </c>
      <c r="B5" s="4" t="inlineStr">
        <is>
          <t>拳击</t>
        </is>
      </c>
      <c r="C5" s="4" t="inlineStr">
        <is>
          <t>男子60公斤级</t>
        </is>
      </c>
      <c r="D5" s="4" t="inlineStr">
        <is>
          <t>乌兹别克斯坦</t>
        </is>
      </c>
      <c r="E5" s="4" t="inlineStr">
        <is>
          <t>阿卜杜马利克·卡洛科霍夫</t>
        </is>
      </c>
      <c r="F5" s="4" t="inlineStr"/>
    </row>
    <row r="6">
      <c r="A6" s="3" t="n">
        <v>3</v>
      </c>
      <c r="B6" s="4" t="inlineStr">
        <is>
          <t>拳击</t>
        </is>
      </c>
      <c r="C6" s="4" t="inlineStr">
        <is>
          <t>男子70公斤级</t>
        </is>
      </c>
      <c r="D6" s="4" t="inlineStr">
        <is>
          <t>哈萨克斯坦</t>
        </is>
      </c>
      <c r="E6" s="4" t="inlineStr">
        <is>
          <t>托列汗·萨贝尔汗</t>
        </is>
      </c>
      <c r="F6" s="4" t="inlineStr">
        <is>
          <t>5:0 胜约旦伊沙伊什</t>
        </is>
      </c>
    </row>
    <row r="7">
      <c r="A7" s="3" t="n">
        <v>4</v>
      </c>
      <c r="B7" s="4" t="inlineStr">
        <is>
          <t>拳击</t>
        </is>
      </c>
      <c r="C7" s="4" t="inlineStr">
        <is>
          <t>男子80公斤级</t>
        </is>
      </c>
      <c r="D7" s="4" t="inlineStr">
        <is>
          <t>印度</t>
        </is>
      </c>
      <c r="E7" s="4" t="inlineStr">
        <is>
          <t>安库什·潘加勒</t>
        </is>
      </c>
      <c r="F7" s="4" t="inlineStr">
        <is>
          <t>4:0 胜韩国金旻成</t>
        </is>
      </c>
    </row>
    <row r="8">
      <c r="A8" s="3" t="n">
        <v>5</v>
      </c>
      <c r="B8" s="4" t="inlineStr">
        <is>
          <t>拳击</t>
        </is>
      </c>
      <c r="C8" s="4" t="inlineStr">
        <is>
          <t>男子90公斤级</t>
        </is>
      </c>
      <c r="D8" s="4" t="inlineStr">
        <is>
          <t>乌兹别克斯坦</t>
        </is>
      </c>
      <c r="E8" s="4" t="inlineStr">
        <is>
          <t>图拉别克·哈比布拉耶夫</t>
        </is>
      </c>
      <c r="F8" s="4" t="inlineStr">
        <is>
          <t>5:0 胜中国韩雪贞</t>
        </is>
      </c>
    </row>
    <row r="9">
      <c r="A9" s="3" t="n">
        <v>6</v>
      </c>
      <c r="B9" s="4" t="inlineStr">
        <is>
          <t>拳击</t>
        </is>
      </c>
      <c r="C9" s="4" t="inlineStr">
        <is>
          <t>男子90公斤以上级</t>
        </is>
      </c>
      <c r="D9" s="4" t="inlineStr">
        <is>
          <t>哈萨克斯坦</t>
        </is>
      </c>
      <c r="E9" s="4" t="inlineStr">
        <is>
          <t>艾别克·奥拉尔巴耶</t>
        </is>
      </c>
      <c r="F9" s="4" t="inlineStr"/>
    </row>
    <row r="10">
      <c r="A10" s="3" t="n">
        <v>7</v>
      </c>
      <c r="B10" s="4" t="inlineStr">
        <is>
          <t>拳击</t>
        </is>
      </c>
      <c r="C10" s="4" t="inlineStr">
        <is>
          <t>女子51公斤级</t>
        </is>
      </c>
      <c r="D10" s="4" t="inlineStr">
        <is>
          <t>中国</t>
        </is>
      </c>
      <c r="E10" s="4" t="inlineStr">
        <is>
          <t>吴愉</t>
        </is>
      </c>
      <c r="F10" s="4" t="inlineStr">
        <is>
          <t>5:0 完胜越南选手</t>
        </is>
      </c>
    </row>
    <row r="11">
      <c r="A11" s="3" t="n">
        <v>8</v>
      </c>
      <c r="B11" s="4" t="inlineStr">
        <is>
          <t>拳击</t>
        </is>
      </c>
      <c r="C11" s="4" t="inlineStr">
        <is>
          <t>女子54公斤级</t>
        </is>
      </c>
      <c r="D11" s="4" t="inlineStr">
        <is>
          <t>泰国</t>
        </is>
      </c>
      <c r="E11" s="4" t="inlineStr">
        <is>
          <t>纳特尼查·琼蓬格朗</t>
        </is>
      </c>
      <c r="F11" s="4" t="inlineStr">
        <is>
          <t>决赛胜朝鲜朴春美</t>
        </is>
      </c>
    </row>
    <row r="12">
      <c r="A12" s="3" t="n">
        <v>9</v>
      </c>
      <c r="B12" s="4" t="inlineStr">
        <is>
          <t>拳击</t>
        </is>
      </c>
      <c r="C12" s="4" t="inlineStr">
        <is>
          <t>女子60公斤级</t>
        </is>
      </c>
      <c r="D12" s="4" t="inlineStr">
        <is>
          <t>中国台北</t>
        </is>
      </c>
      <c r="E12" s="4" t="inlineStr">
        <is>
          <t>林郁婷</t>
        </is>
      </c>
      <c r="F12" s="4" t="inlineStr">
        <is>
          <t>决赛胜中国杨成宇</t>
        </is>
      </c>
    </row>
    <row r="13">
      <c r="A13" s="3" t="n">
        <v>10</v>
      </c>
      <c r="B13" s="4" t="inlineStr">
        <is>
          <t>拳击</t>
        </is>
      </c>
      <c r="C13" s="4" t="inlineStr">
        <is>
          <t>女子65公斤级</t>
        </is>
      </c>
      <c r="D13" s="4" t="inlineStr">
        <is>
          <t>印度</t>
        </is>
      </c>
      <c r="E13" s="4" t="inlineStr">
        <is>
          <t>帕维恩·胡达</t>
        </is>
      </c>
      <c r="F13" s="4" t="inlineStr">
        <is>
          <t>3:2 胜中国台北陈念琴</t>
        </is>
      </c>
    </row>
    <row r="14">
      <c r="A14" s="3" t="n">
        <v>11</v>
      </c>
      <c r="B14" s="4" t="inlineStr">
        <is>
          <t>拳击</t>
        </is>
      </c>
      <c r="C14" s="4" t="inlineStr">
        <is>
          <t>女子75公斤级</t>
        </is>
      </c>
      <c r="D14" s="4" t="inlineStr">
        <is>
          <t>印度</t>
        </is>
      </c>
      <c r="E14" s="4" t="inlineStr">
        <is>
          <t>洛夫利娜·博尔戈哈因</t>
        </is>
      </c>
      <c r="F14" s="4" t="inlineStr">
        <is>
          <t>5:0 胜中国鲍子怡</t>
        </is>
      </c>
    </row>
    <row r="15">
      <c r="A15" s="3" t="n">
        <v>12</v>
      </c>
      <c r="B15" s="4" t="inlineStr">
        <is>
          <t>帆船</t>
        </is>
      </c>
      <c r="C15" s="4" t="inlineStr">
        <is>
          <t>男子ILCA 7级</t>
        </is>
      </c>
      <c r="D15" s="4" t="inlineStr">
        <is>
          <t>韩国</t>
        </is>
      </c>
      <c r="E15" s="4" t="inlineStr">
        <is>
          <t>河智旻</t>
        </is>
      </c>
      <c r="F15" s="4" t="inlineStr"/>
    </row>
    <row r="16">
      <c r="A16" s="3" t="n">
        <v>13</v>
      </c>
      <c r="B16" s="4" t="inlineStr">
        <is>
          <t>帆船</t>
        </is>
      </c>
      <c r="C16" s="4" t="inlineStr">
        <is>
          <t>女子49erFX级</t>
        </is>
      </c>
      <c r="D16" s="4" t="inlineStr">
        <is>
          <t>日本</t>
        </is>
      </c>
      <c r="E16" s="4" t="inlineStr">
        <is>
          <t>田中美咲/长永濑世拉</t>
        </is>
      </c>
      <c r="F16" s="4" t="inlineStr"/>
    </row>
    <row r="17">
      <c r="A17" s="3" t="n">
        <v>14</v>
      </c>
      <c r="B17" s="4" t="inlineStr">
        <is>
          <t>帆船</t>
        </is>
      </c>
      <c r="C17" s="4" t="inlineStr">
        <is>
          <t>混合470级</t>
        </is>
      </c>
      <c r="D17" s="4" t="inlineStr">
        <is>
          <t>日本</t>
        </is>
      </c>
      <c r="E17" s="4" t="inlineStr">
        <is>
          <t>磯崎哲也/关友里惠</t>
        </is>
      </c>
      <c r="F17" s="4" t="inlineStr"/>
    </row>
    <row r="18">
      <c r="A18" s="3" t="n">
        <v>15</v>
      </c>
      <c r="B18" s="4" t="inlineStr">
        <is>
          <t>帆船</t>
        </is>
      </c>
      <c r="C18" s="4" t="inlineStr">
        <is>
          <t>男子iQFoil级</t>
        </is>
      </c>
      <c r="D18" s="4" t="inlineStr">
        <is>
          <t>中国</t>
        </is>
      </c>
      <c r="E18" s="4" t="inlineStr">
        <is>
          <t>毕坤</t>
        </is>
      </c>
      <c r="F18" s="4" t="inlineStr">
        <is>
          <t>10月3日风小取消，按2日末轮名次判金</t>
        </is>
      </c>
    </row>
    <row r="19">
      <c r="A19" s="3" t="n">
        <v>16</v>
      </c>
      <c r="B19" s="4" t="inlineStr">
        <is>
          <t>帆船</t>
        </is>
      </c>
      <c r="C19" s="4" t="inlineStr">
        <is>
          <t>女子iQFoil级</t>
        </is>
      </c>
      <c r="D19" s="4" t="inlineStr">
        <is>
          <t>中国</t>
        </is>
      </c>
      <c r="E19" s="4" t="inlineStr">
        <is>
          <t>李文琪</t>
        </is>
      </c>
      <c r="F19" s="4" t="inlineStr">
        <is>
          <t>10月3日风小取消，按2日末轮名次判金</t>
        </is>
      </c>
    </row>
    <row r="20">
      <c r="A20" s="3" t="n">
        <v>17</v>
      </c>
      <c r="B20" s="4" t="inlineStr">
        <is>
          <t>摔跤-自由式</t>
        </is>
      </c>
      <c r="C20" s="4" t="inlineStr">
        <is>
          <t>男子65公斤级</t>
        </is>
      </c>
      <c r="D20" s="4" t="inlineStr">
        <is>
          <t>印度</t>
        </is>
      </c>
      <c r="E20" s="4" t="inlineStr">
        <is>
          <t>苏吉特·卡尔卡尔</t>
        </is>
      </c>
      <c r="F20" s="4" t="inlineStr">
        <is>
          <t>10:9 逆转胜塔吉克斯坦库迪耶夫</t>
        </is>
      </c>
    </row>
    <row r="21">
      <c r="A21" s="3" t="n">
        <v>18</v>
      </c>
      <c r="B21" s="4" t="inlineStr">
        <is>
          <t>摔跤-自由式</t>
        </is>
      </c>
      <c r="C21" s="4" t="inlineStr">
        <is>
          <t>男子86公斤级</t>
        </is>
      </c>
      <c r="D21" s="4" t="inlineStr">
        <is>
          <t>伊朗</t>
        </is>
      </c>
      <c r="E21" s="4" t="inlineStr">
        <is>
          <t>穆罕默德·诺霍迪</t>
        </is>
      </c>
      <c r="F21" s="4" t="inlineStr">
        <is>
          <t>9:6 胜日本石黑隼人</t>
        </is>
      </c>
    </row>
    <row r="22">
      <c r="A22" s="3" t="n">
        <v>19</v>
      </c>
      <c r="B22" s="4" t="inlineStr">
        <is>
          <t>摔跤-自由式</t>
        </is>
      </c>
      <c r="C22" s="4" t="inlineStr">
        <is>
          <t>男子125公斤级</t>
        </is>
      </c>
      <c r="D22" s="4" t="inlineStr">
        <is>
          <t>伊朗</t>
        </is>
      </c>
      <c r="E22" s="4" t="inlineStr">
        <is>
          <t>阿米尔侯赛因·扎雷</t>
        </is>
      </c>
      <c r="F22" s="4" t="inlineStr">
        <is>
          <t>12:2 胜中国布和额尔顿，卫冕</t>
        </is>
      </c>
    </row>
    <row r="23">
      <c r="A23" s="3" t="n">
        <v>20</v>
      </c>
      <c r="B23" s="4" t="inlineStr">
        <is>
          <t>摔跤-自由式</t>
        </is>
      </c>
      <c r="C23" s="4" t="inlineStr">
        <is>
          <t>女子50公斤级</t>
        </is>
      </c>
      <c r="D23" s="4" t="inlineStr">
        <is>
          <t>日本</t>
        </is>
      </c>
      <c r="E23" s="4" t="inlineStr">
        <is>
          <t>须崎优衣</t>
        </is>
      </c>
      <c r="F23" s="4" t="inlineStr">
        <is>
          <t>决赛零封朝鲜选手</t>
        </is>
      </c>
    </row>
    <row r="24">
      <c r="A24" s="3" t="n">
        <v>21</v>
      </c>
      <c r="B24" s="4" t="inlineStr">
        <is>
          <t>摔跤-自由式</t>
        </is>
      </c>
      <c r="C24" s="4" t="inlineStr">
        <is>
          <t>女子76公斤级</t>
        </is>
      </c>
      <c r="D24" s="4" t="inlineStr">
        <is>
          <t>日本</t>
        </is>
      </c>
      <c r="E24" s="4" t="inlineStr">
        <is>
          <t>镜和翔</t>
        </is>
      </c>
      <c r="F24" s="4" t="inlineStr">
        <is>
          <t>5:1 胜哈萨克斯坦选手</t>
        </is>
      </c>
    </row>
    <row r="25">
      <c r="A25" s="3" t="n">
        <v>22</v>
      </c>
      <c r="B25" s="4" t="inlineStr">
        <is>
          <t>柔道</t>
        </is>
      </c>
      <c r="C25" s="4" t="inlineStr">
        <is>
          <t>男子90公斤级</t>
        </is>
      </c>
      <c r="D25" s="4" t="inlineStr">
        <is>
          <t>日本</t>
        </is>
      </c>
      <c r="E25" s="4" t="inlineStr">
        <is>
          <t>冈田陆</t>
        </is>
      </c>
      <c r="F25" s="4" t="inlineStr">
        <is>
          <t>金分技取胜</t>
        </is>
      </c>
    </row>
    <row r="26">
      <c r="A26" s="3" t="n">
        <v>23</v>
      </c>
      <c r="B26" s="4" t="inlineStr">
        <is>
          <t>柔道</t>
        </is>
      </c>
      <c r="C26" s="4" t="inlineStr">
        <is>
          <t>男子100公斤级</t>
        </is>
      </c>
      <c r="D26" s="4" t="inlineStr">
        <is>
          <t>日本</t>
        </is>
      </c>
      <c r="E26" s="4" t="inlineStr">
        <is>
          <t>增地辽太郎</t>
        </is>
      </c>
      <c r="F26" s="4" t="inlineStr">
        <is>
          <t>一本取胜</t>
        </is>
      </c>
    </row>
    <row r="27">
      <c r="A27" s="3" t="n">
        <v>24</v>
      </c>
      <c r="B27" s="4" t="inlineStr">
        <is>
          <t>柔道</t>
        </is>
      </c>
      <c r="C27" s="4" t="inlineStr">
        <is>
          <t>女子78公斤级</t>
        </is>
      </c>
      <c r="D27" s="4" t="inlineStr">
        <is>
          <t>日本</t>
        </is>
      </c>
      <c r="E27" s="4" t="inlineStr">
        <is>
          <t>杉村美寿希</t>
        </is>
      </c>
      <c r="F27" s="4" t="inlineStr">
        <is>
          <t>反则胜韩国金敏周</t>
        </is>
      </c>
    </row>
    <row r="28">
      <c r="A28" s="3" t="n">
        <v>25</v>
      </c>
      <c r="B28" s="4" t="inlineStr">
        <is>
          <t>柔道</t>
        </is>
      </c>
      <c r="C28" s="4" t="inlineStr">
        <is>
          <t>女子78公斤以上级</t>
        </is>
      </c>
      <c r="D28" s="4" t="inlineStr">
        <is>
          <t>中国</t>
        </is>
      </c>
      <c r="E28" s="4" t="inlineStr">
        <is>
          <t>牛馨然</t>
        </is>
      </c>
      <c r="F28" s="4" t="inlineStr"/>
    </row>
    <row r="29">
      <c r="A29" s="3" t="n">
        <v>26</v>
      </c>
      <c r="B29" s="4" t="inlineStr">
        <is>
          <t>柔道</t>
        </is>
      </c>
      <c r="C29" s="4" t="inlineStr">
        <is>
          <t>男子100公斤以上级</t>
        </is>
      </c>
      <c r="D29" s="4" t="inlineStr">
        <is>
          <t>乌兹别克斯坦</t>
        </is>
      </c>
      <c r="E29" s="4" t="inlineStr">
        <is>
          <t>图罗博耶夫·穆扎法尔别克</t>
        </is>
      </c>
      <c r="F29" s="4" t="inlineStr"/>
    </row>
    <row r="30">
      <c r="A30" s="3" t="n">
        <v>27</v>
      </c>
      <c r="B30" s="4" t="inlineStr">
        <is>
          <t>跆拳道</t>
        </is>
      </c>
      <c r="C30" s="4" t="inlineStr">
        <is>
          <t>男子-58公斤级</t>
        </is>
      </c>
      <c r="D30" s="4" t="inlineStr">
        <is>
          <t>乌兹别克斯坦</t>
        </is>
      </c>
      <c r="E30" s="4" t="inlineStr">
        <is>
          <t>贾苏尔贝克·贾伊苏诺夫</t>
        </is>
      </c>
      <c r="F30" s="4" t="inlineStr"/>
    </row>
    <row r="31">
      <c r="A31" s="3" t="n">
        <v>28</v>
      </c>
      <c r="B31" s="4" t="inlineStr">
        <is>
          <t>跆拳道</t>
        </is>
      </c>
      <c r="C31" s="4" t="inlineStr">
        <is>
          <t>男子-80公斤级</t>
        </is>
      </c>
      <c r="D31" s="4" t="inlineStr">
        <is>
          <t>哈萨克斯坦</t>
        </is>
      </c>
      <c r="E31" s="4" t="inlineStr">
        <is>
          <t>塔米尔兰·特勒乌列斯</t>
        </is>
      </c>
      <c r="F31" s="4" t="inlineStr"/>
    </row>
    <row r="32">
      <c r="A32" s="3" t="n">
        <v>29</v>
      </c>
      <c r="B32" s="4" t="inlineStr">
        <is>
          <t>跆拳道</t>
        </is>
      </c>
      <c r="C32" s="4" t="inlineStr">
        <is>
          <t>女子-49公斤级</t>
        </is>
      </c>
      <c r="D32" s="4" t="inlineStr">
        <is>
          <t>中国</t>
        </is>
      </c>
      <c r="E32" s="4" t="inlineStr">
        <is>
          <t>马静月</t>
        </is>
      </c>
      <c r="F32" s="4" t="inlineStr"/>
    </row>
    <row r="33">
      <c r="A33" s="3" t="n">
        <v>30</v>
      </c>
      <c r="B33" s="4" t="inlineStr">
        <is>
          <t>跆拳道</t>
        </is>
      </c>
      <c r="C33" s="4" t="inlineStr">
        <is>
          <t>女子-67公斤级</t>
        </is>
      </c>
      <c r="D33" s="4" t="inlineStr">
        <is>
          <t>伊朗</t>
        </is>
      </c>
      <c r="E33" s="4" t="inlineStr">
        <is>
          <t>萨加尔·莫拉迪</t>
        </is>
      </c>
      <c r="F33" s="4" t="inlineStr"/>
    </row>
    <row r="34">
      <c r="A34" s="3" t="n">
        <v>31</v>
      </c>
      <c r="B34" s="4" t="inlineStr">
        <is>
          <t>场地自行车</t>
        </is>
      </c>
      <c r="C34" s="4" t="inlineStr">
        <is>
          <t>男子凯林赛</t>
        </is>
      </c>
      <c r="D34" s="4" t="inlineStr">
        <is>
          <t>马来西亚</t>
        </is>
      </c>
      <c r="E34" s="4" t="inlineStr">
        <is>
          <t>穆赫德·阿兹祖哈斯尼·阿旺</t>
        </is>
      </c>
      <c r="F34" s="4" t="inlineStr">
        <is>
          <t>决赛夺冠</t>
        </is>
      </c>
    </row>
    <row r="35">
      <c r="A35" s="3" t="n">
        <v>32</v>
      </c>
      <c r="B35" s="4" t="inlineStr">
        <is>
          <t>场地自行车</t>
        </is>
      </c>
      <c r="C35" s="4" t="inlineStr">
        <is>
          <t>男子麦迪逊赛</t>
        </is>
      </c>
      <c r="D35" s="4" t="inlineStr">
        <is>
          <t>日本</t>
        </is>
      </c>
      <c r="E35" s="4" t="inlineStr">
        <is>
          <t>窪木一茂/儿岛直树</t>
        </is>
      </c>
      <c r="F35" s="4" t="inlineStr">
        <is>
          <t>76分夺金</t>
        </is>
      </c>
    </row>
    <row r="36">
      <c r="A36" s="3" t="n">
        <v>33</v>
      </c>
      <c r="B36" s="4" t="inlineStr">
        <is>
          <t>场地自行车</t>
        </is>
      </c>
      <c r="C36" s="4" t="inlineStr">
        <is>
          <t>女子争先赛</t>
        </is>
      </c>
      <c r="D36" s="4" t="inlineStr">
        <is>
          <t>中国</t>
        </is>
      </c>
      <c r="E36" s="4" t="inlineStr">
        <is>
          <t>苑丽颖</t>
        </is>
      </c>
      <c r="F36" s="4" t="inlineStr">
        <is>
          <t>胜日本佐藤水菜</t>
        </is>
      </c>
    </row>
    <row r="37">
      <c r="A37" s="3" t="n">
        <v>34</v>
      </c>
      <c r="B37" s="4" t="inlineStr">
        <is>
          <t>场地自行车</t>
        </is>
      </c>
      <c r="C37" s="4" t="inlineStr">
        <is>
          <t>女子全能赛</t>
        </is>
      </c>
      <c r="D37" s="4" t="inlineStr">
        <is>
          <t>日本</t>
        </is>
      </c>
      <c r="E37" s="4" t="inlineStr">
        <is>
          <t>梶原悠未</t>
        </is>
      </c>
      <c r="F37" s="4" t="inlineStr">
        <is>
          <t>136分，三连冠</t>
        </is>
      </c>
    </row>
    <row r="38">
      <c r="A38" s="3" t="n">
        <v>35</v>
      </c>
      <c r="B38" s="4" t="inlineStr">
        <is>
          <t>射箭</t>
        </is>
      </c>
      <c r="C38" s="4" t="inlineStr">
        <is>
          <t>反曲弓混合团体</t>
        </is>
      </c>
      <c r="D38" s="4" t="inlineStr">
        <is>
          <t>中国</t>
        </is>
      </c>
      <c r="E38" s="4" t="inlineStr">
        <is>
          <t>李梦麒/朱静怡</t>
        </is>
      </c>
      <c r="F38" s="4" t="inlineStr">
        <is>
          <t>5:3 胜印度，获洛杉矶奥运席位</t>
        </is>
      </c>
    </row>
    <row r="39">
      <c r="A39" s="3" t="n">
        <v>36</v>
      </c>
      <c r="B39" s="4" t="inlineStr">
        <is>
          <t>射箭</t>
        </is>
      </c>
      <c r="C39" s="4" t="inlineStr">
        <is>
          <t>反曲弓男子团体</t>
        </is>
      </c>
      <c r="D39" s="4" t="inlineStr">
        <is>
          <t>韩国</t>
        </is>
      </c>
      <c r="E39" s="4" t="inlineStr">
        <is>
          <t>韩国男子团体</t>
        </is>
      </c>
      <c r="F39" s="4" t="inlineStr">
        <is>
          <t>5:1 胜印度</t>
        </is>
      </c>
    </row>
    <row r="40">
      <c r="A40" s="3" t="n">
        <v>37</v>
      </c>
      <c r="B40" s="4" t="inlineStr">
        <is>
          <t>射箭</t>
        </is>
      </c>
      <c r="C40" s="4" t="inlineStr">
        <is>
          <t>反曲弓女子团体</t>
        </is>
      </c>
      <c r="D40" s="4" t="inlineStr">
        <is>
          <t>印度</t>
        </is>
      </c>
      <c r="E40" s="4" t="inlineStr">
        <is>
          <t>安基塔·巴卡特/蒂尔蒂·夏尔玛/库姆库姆·莫霍德</t>
        </is>
      </c>
      <c r="F40" s="4" t="inlineStr">
        <is>
          <t>5:3 胜韩国，印度首夺该项目亚运金</t>
        </is>
      </c>
    </row>
    <row r="41">
      <c r="A41" s="3" t="n">
        <v>38</v>
      </c>
      <c r="B41" s="4" t="inlineStr">
        <is>
          <t>皮划艇激流回旋</t>
        </is>
      </c>
      <c r="C41" s="4" t="inlineStr">
        <is>
          <t>男子皮艇越野</t>
        </is>
      </c>
      <c r="D41" s="4" t="inlineStr">
        <is>
          <t>日本</t>
        </is>
      </c>
      <c r="E41" s="4" t="inlineStr">
        <is>
          <t>田中雄己</t>
        </is>
      </c>
      <c r="F41" s="4" t="inlineStr"/>
    </row>
    <row r="42">
      <c r="A42" s="3" t="n">
        <v>39</v>
      </c>
      <c r="B42" s="4" t="inlineStr">
        <is>
          <t>皮划艇激流回旋</t>
        </is>
      </c>
      <c r="C42" s="4" t="inlineStr">
        <is>
          <t>女子皮艇越野</t>
        </is>
      </c>
      <c r="D42" s="4" t="inlineStr">
        <is>
          <t>中国</t>
        </is>
      </c>
      <c r="E42" s="4" t="inlineStr">
        <is>
          <t>陈琳</t>
        </is>
      </c>
      <c r="F42" s="4" t="inlineStr">
        <is>
          <t>1分28秒72 刷赛会纪录</t>
        </is>
      </c>
    </row>
    <row r="43">
      <c r="A43" s="3" t="n">
        <v>40</v>
      </c>
      <c r="B43" s="4" t="inlineStr">
        <is>
          <t>柔术</t>
        </is>
      </c>
      <c r="C43" s="4" t="inlineStr">
        <is>
          <t>男子-77公斤级</t>
        </is>
      </c>
      <c r="D43" s="4" t="inlineStr">
        <is>
          <t>阿联酋</t>
        </is>
      </c>
      <c r="E43" s="4" t="inlineStr">
        <is>
          <t>马赫迪·阿劳拉齐</t>
        </is>
      </c>
      <c r="F43" s="4" t="inlineStr">
        <is>
          <t>胜约旦贾布里</t>
        </is>
      </c>
    </row>
    <row r="44">
      <c r="A44" s="3" t="n">
        <v>41</v>
      </c>
      <c r="B44" s="4" t="inlineStr">
        <is>
          <t>柔术</t>
        </is>
      </c>
      <c r="C44" s="4" t="inlineStr">
        <is>
          <t>女子-52公斤级</t>
        </is>
      </c>
      <c r="D44" s="4" t="inlineStr">
        <is>
          <t>阿联酋</t>
        </is>
      </c>
      <c r="E44" s="4" t="inlineStr">
        <is>
          <t>阿斯玛·胡斯尼</t>
        </is>
      </c>
      <c r="F44" s="4" t="inlineStr">
        <is>
          <t>胜韩国任彦珠，成功卫冕</t>
        </is>
      </c>
    </row>
    <row r="45">
      <c r="A45" s="3" t="n">
        <v>42</v>
      </c>
      <c r="B45" s="4" t="inlineStr">
        <is>
          <t>柔术</t>
        </is>
      </c>
      <c r="C45" s="4" t="inlineStr">
        <is>
          <t>男子-94公斤级</t>
        </is>
      </c>
      <c r="D45" s="4" t="inlineStr">
        <is>
          <t>沙特阿拉伯</t>
        </is>
      </c>
      <c r="E45" s="4" t="inlineStr">
        <is>
          <t>奥马尔·塔里克·纳达</t>
        </is>
      </c>
      <c r="F45" s="4" t="inlineStr">
        <is>
          <t>决赛胜韩国朴成厚</t>
        </is>
      </c>
    </row>
    <row r="46">
      <c r="A46" s="3" t="n">
        <v>43</v>
      </c>
      <c r="B46" s="4" t="inlineStr">
        <is>
          <t>壁球</t>
        </is>
      </c>
      <c r="C46" s="4" t="inlineStr">
        <is>
          <t>男子团体</t>
        </is>
      </c>
      <c r="D46" s="4" t="inlineStr">
        <is>
          <t>马来西亚</t>
        </is>
      </c>
      <c r="E46" s="4" t="inlineStr">
        <is>
          <t>马来西亚男子团体</t>
        </is>
      </c>
      <c r="F46" s="4" t="inlineStr">
        <is>
          <t>决赛胜中国香港</t>
        </is>
      </c>
    </row>
    <row r="47">
      <c r="A47" s="3" t="n">
        <v>44</v>
      </c>
      <c r="B47" s="4" t="inlineStr">
        <is>
          <t>壁球</t>
        </is>
      </c>
      <c r="C47" s="4" t="inlineStr">
        <is>
          <t>女子团体</t>
        </is>
      </c>
      <c r="D47" s="4" t="inlineStr">
        <is>
          <t>马来西亚</t>
        </is>
      </c>
      <c r="E47" s="4" t="inlineStr">
        <is>
          <t>马来西亚女子团体</t>
        </is>
      </c>
      <c r="F47" s="4" t="inlineStr">
        <is>
          <t>决赛胜中国香港，马来西亚包办双金</t>
        </is>
      </c>
    </row>
    <row r="48">
      <c r="A48" s="3" t="n">
        <v>45</v>
      </c>
      <c r="B48" s="4" t="inlineStr">
        <is>
          <t>网球</t>
        </is>
      </c>
      <c r="C48" s="4" t="inlineStr">
        <is>
          <t>男子双打</t>
        </is>
      </c>
      <c r="D48" s="4" t="inlineStr">
        <is>
          <t>日本</t>
        </is>
      </c>
      <c r="E48" s="4" t="inlineStr">
        <is>
          <t>楠原悠介/中川舜祐</t>
        </is>
      </c>
      <c r="F48" s="4" t="inlineStr">
        <is>
          <t>6-3 7-6 胜韩国组合</t>
        </is>
      </c>
    </row>
    <row r="49">
      <c r="A49" s="3" t="n">
        <v>46</v>
      </c>
      <c r="B49" s="4" t="inlineStr">
        <is>
          <t>网球</t>
        </is>
      </c>
      <c r="C49" s="4" t="inlineStr">
        <is>
          <t>女子单打</t>
        </is>
      </c>
      <c r="D49" s="4" t="inlineStr">
        <is>
          <t>中国</t>
        </is>
      </c>
      <c r="E49" s="4" t="inlineStr">
        <is>
          <t>王曦雨</t>
        </is>
      </c>
      <c r="F49" s="4" t="inlineStr">
        <is>
          <t>决赛夺金</t>
        </is>
      </c>
    </row>
    <row r="50">
      <c r="A50" s="3" t="n">
        <v>47</v>
      </c>
      <c r="B50" s="4" t="inlineStr">
        <is>
          <t>电子竞技</t>
        </is>
      </c>
      <c r="C50" s="4" t="inlineStr">
        <is>
          <t>英雄联盟</t>
        </is>
      </c>
      <c r="D50" s="4" t="inlineStr">
        <is>
          <t>韩国</t>
        </is>
      </c>
      <c r="E50" s="4" t="inlineStr">
        <is>
          <t>韩国队</t>
        </is>
      </c>
      <c r="F50" s="4" t="inlineStr">
        <is>
          <t>决赛胜中国台北</t>
        </is>
      </c>
    </row>
    <row r="51">
      <c r="A51" s="3" t="n">
        <v>48</v>
      </c>
      <c r="B51" s="4" t="inlineStr">
        <is>
          <t>足球</t>
        </is>
      </c>
      <c r="C51" s="4" t="inlineStr">
        <is>
          <t>女子足球</t>
        </is>
      </c>
      <c r="D51" s="4" t="inlineStr">
        <is>
          <t>日本</t>
        </is>
      </c>
      <c r="E51" s="4" t="inlineStr">
        <is>
          <t>日本女足</t>
        </is>
      </c>
      <c r="F51" s="4" t="inlineStr">
        <is>
          <t>2-2（点球5-3）胜朝鲜，亚运三连冠</t>
        </is>
      </c>
    </row>
    <row r="52">
      <c r="A52" s="3" t="n">
        <v>49</v>
      </c>
      <c r="B52" s="4" t="inlineStr">
        <is>
          <t>跆拳道-虚拟</t>
        </is>
      </c>
      <c r="C52" s="4" t="inlineStr">
        <is>
          <t>混合个人</t>
        </is>
      </c>
      <c r="D52" s="4" t="inlineStr">
        <is>
          <t>菲律宾</t>
        </is>
      </c>
      <c r="E52" s="4" t="inlineStr">
        <is>
          <t>杰乌斯·加布里埃尔·亚佩</t>
        </is>
      </c>
      <c r="F52" s="4" t="inlineStr">
        <is>
          <t>2:0 胜越南选手</t>
        </is>
      </c>
    </row>
    <row r="53">
      <c r="A53" s="3" t="n">
        <v>50</v>
      </c>
      <c r="B53" s="4" t="inlineStr">
        <is>
          <t>沙滩排球</t>
        </is>
      </c>
      <c r="C53" s="4" t="inlineStr">
        <is>
          <t>女子</t>
        </is>
      </c>
      <c r="D53" s="4" t="inlineStr">
        <is>
          <t>泰国</t>
        </is>
      </c>
      <c r="E53" s="4" t="inlineStr">
        <is>
          <t>塔拉瓦迪·纳拉蓬/沃拉皮拉查亚功·功普沙塔翁</t>
        </is>
      </c>
      <c r="F53" s="4" t="inlineStr">
        <is>
          <t>决赛夺金</t>
        </is>
      </c>
    </row>
    <row r="54">
      <c r="A54" s="3" t="n">
        <v>51</v>
      </c>
      <c r="B54" s="4" t="inlineStr">
        <is>
          <t>曲棍球</t>
        </is>
      </c>
      <c r="C54" s="4" t="inlineStr">
        <is>
          <t>女子曲棍球</t>
        </is>
      </c>
      <c r="D54" s="4" t="inlineStr">
        <is>
          <t>印度</t>
        </is>
      </c>
      <c r="E54" s="4" t="inlineStr">
        <is>
          <t>印度女曲</t>
        </is>
      </c>
      <c r="F54" s="4" t="inlineStr">
        <is>
          <t>1:0 胜中国，时隔44年再夺亚运金，获洛杉矶奥运席位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透视汇总 — 2026-10-02 金牌（所有汇总数字均为公式，引用『明细』页）</t>
        </is>
      </c>
    </row>
    <row r="3">
      <c r="A3" s="5" t="inlineStr">
        <is>
          <t>一、按大项汇总</t>
        </is>
      </c>
      <c r="B3" s="6" t="n"/>
    </row>
    <row r="4">
      <c r="A4" s="2" t="inlineStr">
        <is>
          <t>大项</t>
        </is>
      </c>
      <c r="B4" s="2" t="inlineStr">
        <is>
          <t>金牌数</t>
        </is>
      </c>
    </row>
    <row r="5">
      <c r="A5" s="6" t="inlineStr">
        <is>
          <t>拳击</t>
        </is>
      </c>
      <c r="B5" s="6">
        <f>COUNTIF(明细!$B$4:$B$54,A5)</f>
        <v/>
      </c>
    </row>
    <row r="6">
      <c r="A6" s="6" t="inlineStr">
        <is>
          <t>帆船</t>
        </is>
      </c>
      <c r="B6" s="6">
        <f>COUNTIF(明细!$B$4:$B$54,A6)</f>
        <v/>
      </c>
    </row>
    <row r="7">
      <c r="A7" s="6" t="inlineStr">
        <is>
          <t>摔跤-自由式</t>
        </is>
      </c>
      <c r="B7" s="6">
        <f>COUNTIF(明细!$B$4:$B$54,A7)</f>
        <v/>
      </c>
    </row>
    <row r="8">
      <c r="A8" s="6" t="inlineStr">
        <is>
          <t>柔道</t>
        </is>
      </c>
      <c r="B8" s="6">
        <f>COUNTIF(明细!$B$4:$B$54,A8)</f>
        <v/>
      </c>
    </row>
    <row r="9">
      <c r="A9" s="6" t="inlineStr">
        <is>
          <t>跆拳道</t>
        </is>
      </c>
      <c r="B9" s="6">
        <f>COUNTIF(明细!$B$4:$B$54,A9)</f>
        <v/>
      </c>
    </row>
    <row r="10">
      <c r="A10" s="6" t="inlineStr">
        <is>
          <t>场地自行车</t>
        </is>
      </c>
      <c r="B10" s="6">
        <f>COUNTIF(明细!$B$4:$B$54,A10)</f>
        <v/>
      </c>
    </row>
    <row r="11">
      <c r="A11" s="6" t="inlineStr">
        <is>
          <t>射箭</t>
        </is>
      </c>
      <c r="B11" s="6">
        <f>COUNTIF(明细!$B$4:$B$54,A11)</f>
        <v/>
      </c>
    </row>
    <row r="12">
      <c r="A12" s="6" t="inlineStr">
        <is>
          <t>皮划艇激流回旋</t>
        </is>
      </c>
      <c r="B12" s="6">
        <f>COUNTIF(明细!$B$4:$B$54,A12)</f>
        <v/>
      </c>
    </row>
    <row r="13">
      <c r="A13" s="6" t="inlineStr">
        <is>
          <t>柔术</t>
        </is>
      </c>
      <c r="B13" s="6">
        <f>COUNTIF(明细!$B$4:$B$54,A13)</f>
        <v/>
      </c>
    </row>
    <row r="14">
      <c r="A14" s="6" t="inlineStr">
        <is>
          <t>壁球</t>
        </is>
      </c>
      <c r="B14" s="6">
        <f>COUNTIF(明细!$B$4:$B$54,A14)</f>
        <v/>
      </c>
    </row>
    <row r="15">
      <c r="A15" s="6" t="inlineStr">
        <is>
          <t>网球</t>
        </is>
      </c>
      <c r="B15" s="6">
        <f>COUNTIF(明细!$B$4:$B$54,A15)</f>
        <v/>
      </c>
    </row>
    <row r="16">
      <c r="A16" s="6" t="inlineStr">
        <is>
          <t>电子竞技</t>
        </is>
      </c>
      <c r="B16" s="6">
        <f>COUNTIF(明细!$B$4:$B$54,A16)</f>
        <v/>
      </c>
    </row>
    <row r="17">
      <c r="A17" s="6" t="inlineStr">
        <is>
          <t>足球</t>
        </is>
      </c>
      <c r="B17" s="6">
        <f>COUNTIF(明细!$B$4:$B$54,A17)</f>
        <v/>
      </c>
    </row>
    <row r="18">
      <c r="A18" s="6" t="inlineStr">
        <is>
          <t>跆拳道-虚拟</t>
        </is>
      </c>
      <c r="B18" s="6">
        <f>COUNTIF(明细!$B$4:$B$54,A18)</f>
        <v/>
      </c>
    </row>
    <row r="19">
      <c r="A19" s="6" t="inlineStr">
        <is>
          <t>沙滩排球</t>
        </is>
      </c>
      <c r="B19" s="6">
        <f>COUNTIF(明细!$B$4:$B$54,A19)</f>
        <v/>
      </c>
    </row>
    <row r="20">
      <c r="A20" s="6" t="inlineStr">
        <is>
          <t>曲棍球</t>
        </is>
      </c>
      <c r="B20" s="6">
        <f>COUNTIF(明细!$B$4:$B$54,A20)</f>
        <v/>
      </c>
    </row>
    <row r="21">
      <c r="A21" s="7" t="inlineStr">
        <is>
          <t>合计</t>
        </is>
      </c>
      <c r="B21" s="7">
        <f>SUM(B5:B20)</f>
        <v/>
      </c>
    </row>
    <row r="22">
      <c r="A22" s="6" t="n"/>
      <c r="B22" s="6" t="n"/>
    </row>
    <row r="23">
      <c r="A23" s="5" t="inlineStr">
        <is>
          <t>二、按代表团（国家/地区）汇总</t>
        </is>
      </c>
      <c r="B23" s="6" t="n"/>
    </row>
    <row r="24">
      <c r="A24" s="2" t="inlineStr">
        <is>
          <t>代表团</t>
        </is>
      </c>
      <c r="B24" s="2" t="inlineStr">
        <is>
          <t>金牌数</t>
        </is>
      </c>
    </row>
    <row r="25">
      <c r="A25" s="6" t="inlineStr">
        <is>
          <t>中国</t>
        </is>
      </c>
      <c r="B25" s="6">
        <f>COUNTIF(明细!$D$4:$D$54,A25)</f>
        <v/>
      </c>
    </row>
    <row r="26">
      <c r="A26" s="6" t="inlineStr">
        <is>
          <t>日本</t>
        </is>
      </c>
      <c r="B26" s="6">
        <f>COUNTIF(明细!$D$4:$D$54,A26)</f>
        <v/>
      </c>
    </row>
    <row r="27">
      <c r="A27" s="6" t="inlineStr">
        <is>
          <t>韩国</t>
        </is>
      </c>
      <c r="B27" s="6">
        <f>COUNTIF(明细!$D$4:$D$54,A27)</f>
        <v/>
      </c>
    </row>
    <row r="28">
      <c r="A28" s="6" t="inlineStr">
        <is>
          <t>印度</t>
        </is>
      </c>
      <c r="B28" s="6">
        <f>COUNTIF(明细!$D$4:$D$54,A28)</f>
        <v/>
      </c>
    </row>
    <row r="29">
      <c r="A29" s="6" t="inlineStr">
        <is>
          <t>乌兹别克斯坦</t>
        </is>
      </c>
      <c r="B29" s="6">
        <f>COUNTIF(明细!$D$4:$D$54,A29)</f>
        <v/>
      </c>
    </row>
    <row r="30">
      <c r="A30" s="6" t="inlineStr">
        <is>
          <t>哈萨克斯坦</t>
        </is>
      </c>
      <c r="B30" s="6">
        <f>COUNTIF(明细!$D$4:$D$54,A30)</f>
        <v/>
      </c>
    </row>
    <row r="31">
      <c r="A31" s="6" t="inlineStr">
        <is>
          <t>伊朗</t>
        </is>
      </c>
      <c r="B31" s="6">
        <f>COUNTIF(明细!$D$4:$D$54,A31)</f>
        <v/>
      </c>
    </row>
    <row r="32">
      <c r="A32" s="6" t="inlineStr">
        <is>
          <t>泰国</t>
        </is>
      </c>
      <c r="B32" s="6">
        <f>COUNTIF(明细!$D$4:$D$54,A32)</f>
        <v/>
      </c>
    </row>
    <row r="33">
      <c r="A33" s="6" t="inlineStr">
        <is>
          <t>马来西亚</t>
        </is>
      </c>
      <c r="B33" s="6">
        <f>COUNTIF(明细!$D$4:$D$54,A33)</f>
        <v/>
      </c>
    </row>
    <row r="34">
      <c r="A34" s="6" t="inlineStr">
        <is>
          <t>中国台北</t>
        </is>
      </c>
      <c r="B34" s="6">
        <f>COUNTIF(明细!$D$4:$D$54,A34)</f>
        <v/>
      </c>
    </row>
    <row r="35">
      <c r="A35" s="6" t="inlineStr">
        <is>
          <t>阿联酋</t>
        </is>
      </c>
      <c r="B35" s="6">
        <f>COUNTIF(明细!$D$4:$D$54,A35)</f>
        <v/>
      </c>
    </row>
    <row r="36">
      <c r="A36" s="6" t="inlineStr">
        <is>
          <t>菲律宾</t>
        </is>
      </c>
      <c r="B36" s="6">
        <f>COUNTIF(明细!$D$4:$D$54,A36)</f>
        <v/>
      </c>
    </row>
    <row r="37">
      <c r="A37" s="6" t="inlineStr">
        <is>
          <t>沙特阿拉伯</t>
        </is>
      </c>
      <c r="B37" s="6">
        <f>COUNTIF(明细!$D$4:$D$54,A37)</f>
        <v/>
      </c>
    </row>
    <row r="38">
      <c r="A38" s="7" t="inlineStr">
        <is>
          <t>合计</t>
        </is>
      </c>
      <c r="B38" s="7">
        <f>SUM(B25:B37)</f>
        <v/>
      </c>
    </row>
    <row r="39">
      <c r="A39" s="6" t="n"/>
      <c r="B39" s="6" t="n"/>
    </row>
    <row r="40">
      <c r="A40" s="5" t="inlineStr">
        <is>
          <t>三、口径校验</t>
        </is>
      </c>
      <c r="B40" s="6" t="n"/>
    </row>
    <row r="41">
      <c r="A41" s="2" t="inlineStr">
        <is>
          <t>校验项</t>
        </is>
      </c>
      <c r="B41" s="2" t="inlineStr">
        <is>
          <t>数值</t>
        </is>
      </c>
    </row>
    <row r="42">
      <c r="A42" s="6" t="inlineStr">
        <is>
          <t>明细行数（COUNTA 公式）</t>
        </is>
      </c>
      <c r="B42" s="6">
        <f>COUNTA(明细!$A$4:$A$54)</f>
        <v/>
      </c>
    </row>
    <row r="43">
      <c r="A43" s="6" t="inlineStr">
        <is>
          <t>按大项合计</t>
        </is>
      </c>
      <c r="B43" s="6">
        <f>B21</f>
        <v/>
      </c>
    </row>
    <row r="44">
      <c r="A44" s="6" t="inlineStr">
        <is>
          <t>按代表团合计</t>
        </is>
      </c>
      <c r="B44" s="6">
        <f>B38</f>
        <v/>
      </c>
    </row>
    <row r="45">
      <c r="A45" s="6" t="inlineStr">
        <is>
          <t>任务口径应产金数（用户给定）</t>
        </is>
      </c>
      <c r="B45" s="6" t="n">
        <v>51</v>
      </c>
    </row>
    <row r="46">
      <c r="A46" s="6" t="inlineStr">
        <is>
          <t>四方是否一致</t>
        </is>
      </c>
      <c r="B46" s="6">
        <f>IF(AND(B42=B43,B43=B44,B44=B45),"一致","不一致")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口径说明</t>
        </is>
      </c>
    </row>
    <row r="3">
      <c r="A3" s="8" t="inlineStr">
        <is>
          <t>1. 统计对象：第20届亚洲运动会（爱知·名古屋 2026）2026-10-02（第13比赛日，星期五）当日决出的全部金牌；当日为本届产金最多的一天，按官方赛程全天共决出 51 枚金牌。</t>
        </is>
      </c>
    </row>
    <row r="4">
      <c r="A4" s="8" t="inlineStr">
        <is>
          <t>2. 当日为全天已结束状态，按赛后最终成绩采集（多来源交叉核验，见『数据来源』页）。</t>
        </is>
      </c>
    </row>
    <row r="5">
      <c r="A5" s="8" t="inlineStr">
        <is>
          <t>3. 金牌归属判定：以各单项决赛最终结果为准；团体/双人项目按代表团计 1 枚金牌。</t>
        </is>
      </c>
    </row>
    <row r="6">
      <c r="A6" s="8" t="inlineStr">
        <is>
          <t>4. 代表团按 NOC 口径统计；中国香港、中国台北等均以代表团名称列示（中国香港当日未夺金）。</t>
        </is>
      </c>
    </row>
    <row r="7">
      <c r="A7" s="8" t="inlineStr">
        <is>
          <t>5. 当日金牌按大项分布（与官方当日赛程一致）：拳击11、帆船5、摔跤5、柔道5、跆拳道4、场地自行车4、射箭3、皮划艇激流回旋2、柔术3、壁球2、网球2、电子竞技1、足球1、虚拟跆拳道1（本届新增小项）、沙滩排球1、曲棍球1，合计 51。</t>
        </is>
      </c>
    </row>
    <row r="8">
      <c r="A8" s="8" t="inlineStr">
        <is>
          <t>6. 帆船 iQFoil（水翼帆板）男、女两级：因10月3日风力不足取消后续比赛，按10月2日末轮结束后名次定格判金（奖牌仪式于次日举行），故计入10月2日产出；其余帆船三级（ILCA7、49erFX、470混合）当日决赛正常进行。</t>
        </is>
      </c>
    </row>
    <row r="9">
      <c r="A9" s="8" t="inlineStr">
        <is>
          <t>7. 当日部分代表团产金数（供核对）：日本13、中国9（含上述帆船2项按名次定格判金；若按奖牌仪式当日口径中国为7）、韩国3、印度6、乌兹别克斯坦4、哈萨克斯坦3、伊朗3、马来西亚3、泰国2、阿联酋2、中国台北1、菲律宾1、沙特阿拉伯1。</t>
        </is>
      </c>
    </row>
    <row r="10">
      <c r="A10" s="8" t="inlineStr">
        <is>
          <t>8. 透视页所有汇总数字均为 Excel 公式（COUNTIF/SUM/COUNTA/IF）引用『明细』页实时计算，严禁且未手写任何汇总常数；透视页校验区对『明细行数、按大项合计、按代表团合计、任务口径51』四方相互核对，结果应为『一致』。</t>
        </is>
      </c>
    </row>
    <row r="11">
      <c r="A11" s="8" t="inlineStr">
        <is>
          <t>9. 任务口径应产生金牌总数 = 51（用户给定）。</t>
        </is>
      </c>
    </row>
    <row r="12">
      <c r="A12" s="8" t="inlineStr">
        <is>
          <t>10. 工作簿生成时间：2026-10-07（UTC）；生成环境：Python 3 + openpyxl。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58" customWidth="1" min="4" max="4"/>
  </cols>
  <sheetData>
    <row r="1">
      <c r="A1" s="1" t="inlineStr">
        <is>
          <t>数据来源（2026-10-07 采集，赛后多源交叉核验）</t>
        </is>
      </c>
    </row>
    <row r="3">
      <c r="A3" s="2" t="inlineStr">
        <is>
          <t>#</t>
        </is>
      </c>
      <c r="B3" s="2" t="inlineStr">
        <is>
          <t>来源</t>
        </is>
      </c>
      <c r="C3" s="2" t="inlineStr">
        <is>
          <t>说明</t>
        </is>
      </c>
      <c r="D3" s="2" t="inlineStr">
        <is>
          <t>链接</t>
        </is>
      </c>
    </row>
    <row r="4">
      <c r="A4" s="9" t="n">
        <v>1</v>
      </c>
      <c r="B4" s="9" t="inlineStr">
        <is>
          <t>名古屋亚运会官方成绩系统（Bornan）</t>
        </is>
      </c>
      <c r="C4" s="9" t="inlineStr">
        <is>
          <t>各单项决赛官方结果</t>
        </is>
      </c>
      <c r="D4" s="9" t="inlineStr">
        <is>
          <t>https://results.asiangames2026.org/</t>
        </is>
      </c>
    </row>
    <row r="5">
      <c r="A5" s="9" t="n">
        <v>2</v>
      </c>
      <c r="B5" s="9" t="inlineStr">
        <is>
          <t>爱知·名古屋 2026 组委会官网</t>
        </is>
      </c>
      <c r="C5" s="9" t="inlineStr">
        <is>
          <t>官方赛程：10月2日 16 个大项决出 51 金及其分布</t>
        </is>
      </c>
      <c r="D5" s="9" t="inlineStr">
        <is>
          <t>https://www.aichi-nagoya2026.org/sports/</t>
        </is>
      </c>
    </row>
    <row r="6">
      <c r="A6" s="9" t="n">
        <v>3</v>
      </c>
      <c r="B6" s="9" t="inlineStr">
        <is>
          <t>日本奥委会（JOC）当日结果页</t>
        </is>
      </c>
      <c r="C6" s="9" t="inlineStr">
        <is>
          <t>日本队 10月2日全部结果（当日 13 金逐项核实）</t>
        </is>
      </c>
      <c r="D6" s="9" t="inlineStr">
        <is>
          <t>https://www.joc.or.jp/games/asia/2026/schedule/result_1002.html</t>
        </is>
      </c>
    </row>
    <row r="7">
      <c r="A7" s="9" t="n">
        <v>4</v>
      </c>
      <c r="B7" s="9" t="inlineStr">
        <is>
          <t>World Boxing（世界拳击）</t>
        </is>
      </c>
      <c r="C7" s="9" t="inlineStr">
        <is>
          <t>拳击 11 个级别决赛全部结果</t>
        </is>
      </c>
      <c r="D7" s="9" t="inlineStr">
        <is>
          <t>https://worldboxing.org/eleven-champions-crowned-as-india-top-aichi-nagoya-2026-asian-games-boxing-medal-table/</t>
        </is>
      </c>
    </row>
    <row r="8">
      <c r="A8" s="9" t="n">
        <v>5</v>
      </c>
      <c r="B8" s="9" t="inlineStr">
        <is>
          <t>Olympics.com 亚运专题</t>
        </is>
      </c>
      <c r="C8" s="9" t="inlineStr">
        <is>
          <t>印度当日 6 金战报（摔跤/拳击/女曲/射箭女团）</t>
        </is>
      </c>
      <c r="D8" s="9" t="inlineStr">
        <is>
          <t>https://www.olympics.com/en/news/asian-games-2026-live-scores-updates-results-india-october-2</t>
        </is>
      </c>
    </row>
    <row r="9">
      <c r="A9" s="9" t="n">
        <v>6</v>
      </c>
      <c r="B9" s="9" t="inlineStr">
        <is>
          <t>KhelNow 第13日奖牌综述</t>
        </is>
      </c>
      <c r="C9" s="9" t="inlineStr">
        <is>
          <t>当日各国金牌归属（拳击/柔道/跆拳道/自行车/皮划艇/网球/电竞等）</t>
        </is>
      </c>
      <c r="D9" s="9" t="inlineStr">
        <is>
          <t>https://khelnow.com/asian-games/medal-tally-october-2-asian-games-202610</t>
        </is>
      </c>
    </row>
    <row r="10">
      <c r="A10" s="9" t="n">
        <v>7</v>
      </c>
      <c r="B10" s="9" t="inlineStr">
        <is>
          <t>央视网亚运专题 / 搜狐体育</t>
        </is>
      </c>
      <c r="C10" s="9" t="inlineStr">
        <is>
          <t>中国代表团当日夺金明细与奖牌榜日增量</t>
        </is>
      </c>
      <c r="D10" s="9" t="inlineStr">
        <is>
          <t>https://yayun.cctv.com/2026/dateschedule/index.shtml</t>
        </is>
      </c>
    </row>
    <row r="11">
      <c r="A11" s="9" t="n">
        <v>8</v>
      </c>
      <c r="B11" s="9" t="inlineStr">
        <is>
          <t>United World Wrestling（UWW）</t>
        </is>
      </c>
      <c r="C11" s="9" t="inlineStr">
        <is>
          <t>摔跤第3日（10月2日）5 个级别决赛结果</t>
        </is>
      </c>
      <c r="D11" s="9" t="inlineStr">
        <is>
          <t>https://uww.org/articles/asian-games-2026-wrestling-day-3-highlights-susaki-sujeet-zare-win-gold</t>
        </is>
      </c>
    </row>
    <row r="12">
      <c r="A12" s="9" t="n">
        <v>9</v>
      </c>
      <c r="B12" s="9" t="inlineStr">
        <is>
          <t>共同社（Kyodo）</t>
        </is>
      </c>
      <c r="C12" s="9" t="inlineStr">
        <is>
          <t>女足决赛（日本点球胜朝鲜，三连冠）</t>
        </is>
      </c>
      <c r="D12" s="9" t="inlineStr">
        <is>
          <t>https://english.kyodonews.net/articles/-/87069</t>
        </is>
      </c>
    </row>
    <row r="13">
      <c r="A13" s="9" t="n">
        <v>10</v>
      </c>
      <c r="B13" s="9" t="inlineStr">
        <is>
          <t>World Squash</t>
        </is>
      </c>
      <c r="C13" s="9" t="inlineStr">
        <is>
          <t>壁球男/女团体决赛（马来西亚双金）</t>
        </is>
      </c>
      <c r="D13" s="9" t="inlineStr">
        <is>
          <t>https://www.worldsquash.sport/historic-gold-medal-double-for-malaysia-at-2026-asian-games-teams/</t>
        </is>
      </c>
    </row>
    <row r="14">
      <c r="A14" s="9" t="n">
        <v>11</v>
      </c>
      <c r="B14" s="9" t="inlineStr">
        <is>
          <t>Asian Sailing / Wikipedia 帆船页</t>
        </is>
      </c>
      <c r="C14" s="9" t="inlineStr">
        <is>
          <t>帆船 5 个级别结果及 iQFoil 名次定格说明</t>
        </is>
      </c>
      <c r="D14" s="9" t="inlineStr">
        <is>
          <t>https://www.asiansailing.org/asian-games-final-day-report/</t>
        </is>
      </c>
    </row>
    <row r="15">
      <c r="A15" s="9" t="n">
        <v>12</v>
      </c>
      <c r="B15" s="9" t="inlineStr">
        <is>
          <t>Sharjah24 / Khaleej Times（阿联酋）</t>
        </is>
      </c>
      <c r="C15" s="9" t="inlineStr">
        <is>
          <t>柔术当日金牌（阿联酋 2 金）</t>
        </is>
      </c>
      <c r="D15" s="9" t="inlineStr">
        <is>
          <t>https://sharjah24.ae/en/Articles/2026/10/02/AL011</t>
        </is>
      </c>
    </row>
    <row r="16">
      <c r="A16" s="9" t="n">
        <v>13</v>
      </c>
      <c r="B16" s="9" t="inlineStr">
        <is>
          <t>SBS（韩国）/ QazInform（哈萨克斯坦）</t>
        </is>
      </c>
      <c r="C16" s="9" t="inlineStr">
        <is>
          <t>柔术男子-94公斤级决赛（沙特阿拉伯夺金）</t>
        </is>
      </c>
      <c r="D16" s="9" t="inlineStr">
        <is>
          <t>https://news.sbs.co.kr/english/article.do?news_id=N1008780926</t>
        </is>
      </c>
    </row>
    <row r="17">
      <c r="A17" s="9" t="n">
        <v>14</v>
      </c>
      <c r="B17" s="9" t="inlineStr">
        <is>
          <t>ESPN 菲律宾代表团追踪</t>
        </is>
      </c>
      <c r="C17" s="9" t="inlineStr">
        <is>
          <t>虚拟跆拳道混合个人金牌（菲律宾）</t>
        </is>
      </c>
      <c r="D17" s="9" t="inlineStr">
        <is>
          <t>https://www.espn.com/espn/story/_/id/49945208/asian-games-2026-aichi-nagoya-team-philippines-results-schedule-medal-tracker</t>
        </is>
      </c>
    </row>
    <row r="18">
      <c r="A18" s="9" t="n">
        <v>15</v>
      </c>
      <c r="B18" s="9" t="inlineStr">
        <is>
          <t>Wikipedia: 2026 Asian Games medal table</t>
        </is>
      </c>
      <c r="C18" s="9" t="inlineStr">
        <is>
          <t>各代表团累计金牌数日增量交叉核验</t>
        </is>
      </c>
      <c r="D18" s="9" t="inlineStr">
        <is>
          <t>https://en.wikipedia.org/wiki/2026_Asian_Games_medal_table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2026-10-07T09:26:04Z</dcterms:created>
  <dcterms:modified xsi:type="dcterms:W3CDTF">2026-10-07T09:26:04Z</dcterms:modified>
</cp:coreProperties>
</file>
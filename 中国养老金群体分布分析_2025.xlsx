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养老金总览" sheetId="1" state="visible" r:id="rId1"/>
    <sheet name="对比图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9"/>
    </font>
    <font>
      <b val="1"/>
      <color rgb="00FFFFFF"/>
      <sz val="11"/>
    </font>
    <font>
      <sz val="11"/>
    </font>
    <font>
      <b val="1"/>
      <sz val="11"/>
    </font>
    <font>
      <color rgb="00C00000"/>
      <sz val="9"/>
    </font>
    <font>
      <b val="1"/>
      <sz val="13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3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0" fontId="5" fillId="5" borderId="1" pivotButton="0" quotePrefix="0" xfId="0"/>
    <xf numFmtId="0" fontId="5" fillId="5" borderId="1" applyAlignment="1" pivotButton="0" quotePrefix="0" xfId="0">
      <alignment horizontal="center" vertical="center" wrapText="1"/>
    </xf>
    <xf numFmtId="3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月人均养老金对比（元）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'对比图表'!B3</f>
            </strRef>
          </tx>
          <spPr>
            <a:ln>
              <a:prstDash val="solid"/>
            </a:ln>
          </spPr>
          <cat>
            <numRef>
              <f>'对比图表'!$A$4:$A$6</f>
            </numRef>
          </cat>
          <val>
            <numRef>
              <f>'对比图表'!$B$4:$B$6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养老金年支出占比</a:t>
            </a:r>
          </a:p>
        </rich>
      </tx>
    </title>
    <plotArea>
      <pieChart>
        <varyColors val="1"/>
        <ser>
          <idx val="0"/>
          <order val="0"/>
          <tx>
            <strRef>
              <f>'对比图表'!C3</f>
            </strRef>
          </tx>
          <spPr>
            <a:ln>
              <a:prstDash val="solid"/>
            </a:ln>
          </spPr>
          <cat>
            <numRef>
              <f>'对比图表'!$A$4:$A$6</f>
            </numRef>
          </cat>
          <val>
            <numRef>
              <f>'对比图表'!$C$4:$C$6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领取人数占比</a:t>
            </a:r>
          </a:p>
        </rich>
      </tx>
    </title>
    <plotArea>
      <pieChart>
        <varyColors val="1"/>
        <ser>
          <idx val="0"/>
          <order val="0"/>
          <tx>
            <strRef>
              <f>'对比图表'!D3</f>
            </strRef>
          </tx>
          <spPr>
            <a:ln>
              <a:prstDash val="solid"/>
            </a:ln>
          </spPr>
          <cat>
            <numRef>
              <f>'对比图表'!$A$4:$A$6</f>
            </numRef>
          </cat>
          <val>
            <numRef>
              <f>'对比图表'!$D$4:$D$6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8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27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3" customWidth="1" min="3" max="3"/>
    <col width="18" customWidth="1" min="4" max="4"/>
    <col width="14" customWidth="1" min="5" max="5"/>
    <col width="14" customWidth="1" min="6" max="6"/>
    <col width="13" customWidth="1" min="7" max="7"/>
  </cols>
  <sheetData>
    <row r="1" ht="30" customHeight="1">
      <c r="A1" s="1" t="inlineStr">
        <is>
          <t>中国基本养老金不同群体资金分布总览（2025年度）</t>
        </is>
      </c>
    </row>
    <row r="2">
      <c r="A2" s="2" t="inlineStr">
        <is>
          <t>数据来源：人力资源和社会保障部《2025年度人力资源和社会保障事业发展统计公报》（2026年发布）；人均待遇为按公报支出÷领取人数的测算值</t>
        </is>
      </c>
    </row>
    <row r="3" ht="34" customHeight="1">
      <c r="A3" s="3" t="inlineStr">
        <is>
          <t>群体</t>
        </is>
      </c>
      <c r="B3" s="3" t="inlineStr">
        <is>
          <t>月人均养老金
(元/人·月)</t>
        </is>
      </c>
      <c r="C3" s="3" t="inlineStr">
        <is>
          <t>领取人数
(万人)</t>
        </is>
      </c>
      <c r="D3" s="3" t="inlineStr">
        <is>
          <t>养老金年支出总额
(亿元)</t>
        </is>
      </c>
      <c r="E3" s="3" t="inlineStr">
        <is>
          <t>占养老金总支出
比重</t>
        </is>
      </c>
      <c r="F3" s="3" t="inlineStr">
        <is>
          <t>占领取总人数
比重</t>
        </is>
      </c>
      <c r="G3" s="3" t="inlineStr">
        <is>
          <t>人均待遇倍数
(以居民=1)</t>
        </is>
      </c>
    </row>
    <row r="4">
      <c r="A4" s="4" t="inlineStr">
        <is>
          <t>机关事业单位退休人员</t>
        </is>
      </c>
      <c r="B4" s="5" t="n">
        <v>6400</v>
      </c>
      <c r="C4" s="5" t="n">
        <v>3515</v>
      </c>
      <c r="D4" s="5" t="n">
        <v>26995.2</v>
      </c>
      <c r="E4" s="6" t="n">
        <v>0.3454448200936194</v>
      </c>
      <c r="F4" s="6" t="n">
        <v>0.1032760393712355</v>
      </c>
      <c r="G4" s="7" t="n">
        <v>23.27272727272727</v>
      </c>
    </row>
    <row r="5">
      <c r="A5" s="4" t="inlineStr">
        <is>
          <t>企业退休职工</t>
        </is>
      </c>
      <c r="B5" s="5" t="n">
        <v>3200</v>
      </c>
      <c r="C5" s="5" t="n">
        <v>11700</v>
      </c>
      <c r="D5" s="5" t="n">
        <v>44928</v>
      </c>
      <c r="E5" s="6" t="n">
        <v>0.5749223890605045</v>
      </c>
      <c r="F5" s="6" t="n">
        <v>0.3437637725870428</v>
      </c>
      <c r="G5" s="7" t="n">
        <v>11.63636363636364</v>
      </c>
    </row>
    <row r="6">
      <c r="A6" s="8" t="inlineStr">
        <is>
          <t>城乡居民（以农民为主）</t>
        </is>
      </c>
      <c r="B6" s="9" t="n">
        <v>275</v>
      </c>
      <c r="C6" s="9" t="n">
        <v>18820</v>
      </c>
      <c r="D6" s="9" t="n">
        <v>6223</v>
      </c>
      <c r="E6" s="10" t="n">
        <v>0.07963279084587607</v>
      </c>
      <c r="F6" s="10" t="n">
        <v>0.5529601880417218</v>
      </c>
      <c r="G6" s="11" t="n">
        <v>1</v>
      </c>
    </row>
    <row r="7">
      <c r="A7" s="12" t="inlineStr">
        <is>
          <t>合计</t>
        </is>
      </c>
      <c r="B7" s="13" t="n"/>
      <c r="C7" s="14" t="n">
        <v>34035</v>
      </c>
      <c r="D7" s="14" t="n">
        <v>78146.2</v>
      </c>
      <c r="E7" s="15" t="n">
        <v>1</v>
      </c>
      <c r="F7" s="15" t="n">
        <v>1</v>
      </c>
      <c r="G7" s="13" t="n"/>
    </row>
    <row r="9">
      <c r="A9" s="16" t="inlineStr">
        <is>
          <t>注：机关事业单位与企业职工的拆分为基于参保结构（机关参保约6263万）与公开报道人均水平的测算值，官方公报仅公布城镇职工合计数据</t>
        </is>
      </c>
    </row>
  </sheetData>
  <mergeCells count="3">
    <mergeCell ref="A2:G2"/>
    <mergeCell ref="A1:G1"/>
    <mergeCell ref="A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各群体指标对比</t>
        </is>
      </c>
    </row>
    <row r="3">
      <c r="A3" t="inlineStr">
        <is>
          <t>群体</t>
        </is>
      </c>
      <c r="B3" t="inlineStr">
        <is>
          <t>月人均养老金(元)</t>
        </is>
      </c>
      <c r="C3" t="inlineStr">
        <is>
          <t>年支出(亿元)</t>
        </is>
      </c>
      <c r="D3" t="inlineStr">
        <is>
          <t>领取人数(万人)</t>
        </is>
      </c>
    </row>
    <row r="4">
      <c r="A4" t="inlineStr">
        <is>
          <t>机关事业单位</t>
        </is>
      </c>
      <c r="B4" t="n">
        <v>6400</v>
      </c>
      <c r="C4" t="n">
        <v>26995</v>
      </c>
      <c r="D4" t="n">
        <v>3515</v>
      </c>
    </row>
    <row r="5">
      <c r="A5" t="inlineStr">
        <is>
          <t>企业职工</t>
        </is>
      </c>
      <c r="B5" t="n">
        <v>3200</v>
      </c>
      <c r="C5" t="n">
        <v>44928</v>
      </c>
      <c r="D5" t="n">
        <v>11700</v>
      </c>
    </row>
    <row r="6">
      <c r="A6" t="inlineStr">
        <is>
          <t>城乡居民</t>
        </is>
      </c>
      <c r="B6" t="n">
        <v>275</v>
      </c>
      <c r="C6" t="n">
        <v>6223</v>
      </c>
      <c r="D6" t="n">
        <v>18820</v>
      </c>
    </row>
    <row r="28">
      <c r="J28" s="18" t="inlineStr">
        <is>
          <t>关键结论</t>
        </is>
      </c>
    </row>
    <row r="29">
      <c r="J29" t="inlineStr">
        <is>
          <t>1. 城乡居民领取人数占55.3%，但仅分得总支出的8.1%</t>
        </is>
      </c>
    </row>
    <row r="30">
      <c r="J30" t="inlineStr">
        <is>
          <t>2. 机关事业单位人数占10.3%，却分得35.1%的支出</t>
        </is>
      </c>
    </row>
    <row r="31">
      <c r="J31" t="inlineStr">
        <is>
          <t>3. 机关人均待遇是城乡居民的23.3倍</t>
        </is>
      </c>
    </row>
    <row r="32">
      <c r="J32" t="inlineStr">
        <is>
          <t>4. 职工与居民的整体待遇差约14倍</t>
        </is>
      </c>
    </row>
    <row r="33">
      <c r="J33" t="inlineStr">
        <is>
          <t>5. 三者待遇结构反映了储蓄型(职工)与补底型(居民)的制度设计差异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2026-10-08T04:25:22Z</dcterms:created>
  <dcterms:modified xsi:type="dcterms:W3CDTF">2026-10-08T04:25:22Z</dcterms:modified>
</cp:coreProperties>
</file>
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养老金总览" sheetId="1" state="visible" r:id="rId1"/>
    <sheet name="对比图表" sheetId="2" state="visible" r:id="rId2"/>
    <sheet name="发达国家对比" sheetId="3" state="visible" r:id="rId3"/>
    <sheet name="同人均GDP国家对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9"/>
    </font>
    <font>
      <b val="1"/>
      <color rgb="00FFFFFF"/>
      <sz val="11"/>
    </font>
    <font>
      <sz val="11"/>
    </font>
    <font>
      <b val="1"/>
      <sz val="11"/>
    </font>
    <font>
      <color rgb="00C00000"/>
      <sz val="9"/>
    </font>
    <font>
      <b val="1"/>
      <sz val="13"/>
    </font>
    <font>
      <b val="1"/>
      <sz val="12"/>
    </font>
    <font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0" fontId="5" fillId="5" borderId="1" pivotButton="0" quotePrefix="0" xfId="0"/>
    <xf numFmtId="0" fontId="5" fillId="5" borderId="1" applyAlignment="1" pivotButton="0" quotePrefix="0" xfId="0">
      <alignment horizontal="center" vertical="center" wrapText="1"/>
    </xf>
    <xf numFmtId="3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月人均养老金对比（元）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'对比图表'!B3</f>
            </strRef>
          </tx>
          <spPr>
            <a:ln>
              <a:prstDash val="solid"/>
            </a:ln>
          </spPr>
          <cat>
            <numRef>
              <f>'对比图表'!$A$4:$A$6</f>
            </numRef>
          </cat>
          <val>
            <numRef>
              <f>'对比图表'!$B$4:$B$6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养老金年支出占比</a:t>
            </a:r>
          </a:p>
        </rich>
      </tx>
    </title>
    <plotArea>
      <pieChart>
        <varyColors val="1"/>
        <ser>
          <idx val="0"/>
          <order val="0"/>
          <tx>
            <strRef>
              <f>'对比图表'!C3</f>
            </strRef>
          </tx>
          <spPr>
            <a:ln>
              <a:prstDash val="solid"/>
            </a:ln>
          </spPr>
          <cat>
            <numRef>
              <f>'对比图表'!$A$4:$A$6</f>
            </numRef>
          </cat>
          <val>
            <numRef>
              <f>'对比图表'!$C$4:$C$6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领取人数占比</a:t>
            </a:r>
          </a:p>
        </rich>
      </tx>
    </title>
    <plotArea>
      <pieChart>
        <varyColors val="1"/>
        <ser>
          <idx val="0"/>
          <order val="0"/>
          <tx>
            <strRef>
              <f>'对比图表'!D3</f>
            </strRef>
          </tx>
          <spPr>
            <a:ln>
              <a:prstDash val="solid"/>
            </a:ln>
          </spPr>
          <cat>
            <numRef>
              <f>'对比图表'!$A$4:$A$6</f>
            </numRef>
          </cat>
          <val>
            <numRef>
              <f>'对比图表'!$D$4:$D$6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普惠/居民层养老金水平 ÷ 人均GDP（%）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'同人均GDP国家对比'!B14</f>
            </strRef>
          </tx>
          <spPr>
            <a:ln>
              <a:prstDash val="solid"/>
            </a:ln>
          </spPr>
          <cat>
            <numRef>
              <f>'同人均GDP国家对比'!$A$15:$A$20</f>
            </numRef>
          </cat>
          <val>
            <numRef>
              <f>'同人均GDP国家对比'!$B$15:$B$20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8</row>
      <rowOff>0</rowOff>
    </from>
    <ext cx="576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27</row>
      <rowOff>0</rowOff>
    </from>
    <ext cx="576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0</colOff>
      <row>13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3" customWidth="1" min="3" max="3"/>
    <col width="18" customWidth="1" min="4" max="4"/>
    <col width="14" customWidth="1" min="5" max="5"/>
    <col width="14" customWidth="1" min="6" max="6"/>
    <col width="13" customWidth="1" min="7" max="7"/>
  </cols>
  <sheetData>
    <row r="1" ht="30" customHeight="1">
      <c r="A1" s="1" t="inlineStr">
        <is>
          <t>中国基本养老金不同群体资金分布总览（2025年度）</t>
        </is>
      </c>
    </row>
    <row r="2">
      <c r="A2" s="2" t="inlineStr">
        <is>
          <t>数据来源：人力资源和社会保障部《2025年度人力资源和社会保障事业发展统计公报》（2026年发布）；人均待遇为按公报支出÷领取人数的测算值</t>
        </is>
      </c>
    </row>
    <row r="3" ht="34" customHeight="1">
      <c r="A3" s="3" t="inlineStr">
        <is>
          <t>群体</t>
        </is>
      </c>
      <c r="B3" s="3" t="inlineStr">
        <is>
          <t>月人均养老金
(元/人·月)</t>
        </is>
      </c>
      <c r="C3" s="3" t="inlineStr">
        <is>
          <t>领取人数
(万人)</t>
        </is>
      </c>
      <c r="D3" s="3" t="inlineStr">
        <is>
          <t>养老金年支出总额
(亿元)</t>
        </is>
      </c>
      <c r="E3" s="3" t="inlineStr">
        <is>
          <t>占养老金总支出
比重</t>
        </is>
      </c>
      <c r="F3" s="3" t="inlineStr">
        <is>
          <t>占领取总人数
比重</t>
        </is>
      </c>
      <c r="G3" s="3" t="inlineStr">
        <is>
          <t>人均待遇倍数
(以居民=1)</t>
        </is>
      </c>
    </row>
    <row r="4">
      <c r="A4" s="4" t="inlineStr">
        <is>
          <t>机关事业单位退休人员</t>
        </is>
      </c>
      <c r="B4" s="5" t="n">
        <v>6400</v>
      </c>
      <c r="C4" s="5" t="n">
        <v>3515</v>
      </c>
      <c r="D4" s="5" t="n">
        <v>26995.2</v>
      </c>
      <c r="E4" s="6" t="n">
        <v>0.3454448200936194</v>
      </c>
      <c r="F4" s="6" t="n">
        <v>0.1032760393712355</v>
      </c>
      <c r="G4" s="7" t="n">
        <v>23.27272727272727</v>
      </c>
    </row>
    <row r="5">
      <c r="A5" s="4" t="inlineStr">
        <is>
          <t>企业退休职工</t>
        </is>
      </c>
      <c r="B5" s="5" t="n">
        <v>3200</v>
      </c>
      <c r="C5" s="5" t="n">
        <v>11700</v>
      </c>
      <c r="D5" s="5" t="n">
        <v>44928</v>
      </c>
      <c r="E5" s="6" t="n">
        <v>0.5749223890605045</v>
      </c>
      <c r="F5" s="6" t="n">
        <v>0.3437637725870428</v>
      </c>
      <c r="G5" s="7" t="n">
        <v>11.63636363636364</v>
      </c>
    </row>
    <row r="6">
      <c r="A6" s="8" t="inlineStr">
        <is>
          <t>城乡居民（以农民为主）</t>
        </is>
      </c>
      <c r="B6" s="9" t="n">
        <v>275</v>
      </c>
      <c r="C6" s="9" t="n">
        <v>18820</v>
      </c>
      <c r="D6" s="9" t="n">
        <v>6223</v>
      </c>
      <c r="E6" s="10" t="n">
        <v>0.07963279084587607</v>
      </c>
      <c r="F6" s="10" t="n">
        <v>0.5529601880417218</v>
      </c>
      <c r="G6" s="11" t="n">
        <v>1</v>
      </c>
    </row>
    <row r="7">
      <c r="A7" s="12" t="inlineStr">
        <is>
          <t>合计</t>
        </is>
      </c>
      <c r="B7" s="13" t="n"/>
      <c r="C7" s="14" t="n">
        <v>34035</v>
      </c>
      <c r="D7" s="14" t="n">
        <v>78146.2</v>
      </c>
      <c r="E7" s="15" t="n">
        <v>1</v>
      </c>
      <c r="F7" s="15" t="n">
        <v>1</v>
      </c>
      <c r="G7" s="13" t="n"/>
    </row>
    <row r="9">
      <c r="A9" s="16" t="inlineStr">
        <is>
          <t>注：机关事业单位与企业职工的拆分为基于参保结构（机关参保约6263万）与公开报道人均水平的测算值，官方公报仅公布城镇职工合计数据</t>
        </is>
      </c>
    </row>
  </sheetData>
  <mergeCells count="3">
    <mergeCell ref="A2:G2"/>
    <mergeCell ref="A1:G1"/>
    <mergeCell ref="A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各群体指标对比</t>
        </is>
      </c>
    </row>
    <row r="3">
      <c r="A3" t="inlineStr">
        <is>
          <t>群体</t>
        </is>
      </c>
      <c r="B3" t="inlineStr">
        <is>
          <t>月人均养老金(元)</t>
        </is>
      </c>
      <c r="C3" t="inlineStr">
        <is>
          <t>年支出(亿元)</t>
        </is>
      </c>
      <c r="D3" t="inlineStr">
        <is>
          <t>领取人数(万人)</t>
        </is>
      </c>
    </row>
    <row r="4">
      <c r="A4" t="inlineStr">
        <is>
          <t>机关事业单位</t>
        </is>
      </c>
      <c r="B4" t="n">
        <v>6400</v>
      </c>
      <c r="C4" t="n">
        <v>26995</v>
      </c>
      <c r="D4" t="n">
        <v>3515</v>
      </c>
    </row>
    <row r="5">
      <c r="A5" t="inlineStr">
        <is>
          <t>企业职工</t>
        </is>
      </c>
      <c r="B5" t="n">
        <v>3200</v>
      </c>
      <c r="C5" t="n">
        <v>44928</v>
      </c>
      <c r="D5" t="n">
        <v>11700</v>
      </c>
    </row>
    <row r="6">
      <c r="A6" t="inlineStr">
        <is>
          <t>城乡居民</t>
        </is>
      </c>
      <c r="B6" t="n">
        <v>275</v>
      </c>
      <c r="C6" t="n">
        <v>6223</v>
      </c>
      <c r="D6" t="n">
        <v>18820</v>
      </c>
    </row>
    <row r="28">
      <c r="J28" s="18" t="inlineStr">
        <is>
          <t>关键结论</t>
        </is>
      </c>
    </row>
    <row r="29">
      <c r="J29" t="inlineStr">
        <is>
          <t>1. 城乡居民领取人数占55.3%，但仅分得总支出的8.1%</t>
        </is>
      </c>
    </row>
    <row r="30">
      <c r="J30" t="inlineStr">
        <is>
          <t>2. 机关事业单位人数占10.3%，却分得35.1%的支出</t>
        </is>
      </c>
    </row>
    <row r="31">
      <c r="J31" t="inlineStr">
        <is>
          <t>3. 机关人均待遇是城乡居民的23.3倍</t>
        </is>
      </c>
    </row>
    <row r="32">
      <c r="J32" t="inlineStr">
        <is>
          <t>4. 职工与居民的整体待遇差约14倍</t>
        </is>
      </c>
    </row>
    <row r="33">
      <c r="J33" t="inlineStr">
        <is>
          <t>5. 三者待遇结构反映了储蓄型(职工)与补底型(居民)的制度设计差异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6" customWidth="1" min="3" max="3"/>
    <col width="16" customWidth="1" min="4" max="4"/>
    <col width="18" customWidth="1" min="5" max="5"/>
    <col width="24" customWidth="1" min="6" max="6"/>
  </cols>
  <sheetData>
    <row r="1" ht="30" customHeight="1">
      <c r="A1" s="1" t="inlineStr">
        <is>
          <t>中国 vs 发达国家公共养老金对比（OECD Pensions at a Glance 2025 口径）</t>
        </is>
      </c>
    </row>
    <row r="2" ht="28" customHeight="1">
      <c r="A2" s="3" t="inlineStr">
        <is>
          <t>国家/地区</t>
        </is>
      </c>
      <c r="B2" s="3" t="inlineStr">
        <is>
          <t>制度模式</t>
        </is>
      </c>
      <c r="C2" s="3" t="inlineStr">
        <is>
          <t>公共养老金替代率</t>
        </is>
      </c>
      <c r="D2" s="3" t="inlineStr">
        <is>
          <t>老年收入Gini(65+)</t>
        </is>
      </c>
      <c r="E2" s="3" t="inlineStr">
        <is>
          <t>群体间待遇差</t>
        </is>
      </c>
      <c r="F2" s="3" t="inlineStr">
        <is>
          <t>公平性简评</t>
        </is>
      </c>
    </row>
    <row r="3">
      <c r="A3" s="8" t="inlineStr">
        <is>
          <t>中国</t>
        </is>
      </c>
      <c r="B3" s="19" t="inlineStr">
        <is>
          <t>分轨制(机关/企业/居民)</t>
        </is>
      </c>
      <c r="C3" s="19" t="inlineStr">
        <is>
          <t>约35-45%(企业),80%+(机关),~10%(居民)</t>
        </is>
      </c>
      <c r="D3" s="19" t="inlineStr">
        <is>
          <t>约0.4+(养老金自身曾测0.74)</t>
        </is>
      </c>
      <c r="E3" s="19" t="inlineStr">
        <is>
          <t>机关vs居民23倍</t>
        </is>
      </c>
      <c r="F3" s="19" t="inlineStr">
        <is>
          <t>制度按身份分层，垫底</t>
        </is>
      </c>
    </row>
    <row r="4">
      <c r="A4" s="4" t="inlineStr">
        <is>
          <t>新西兰</t>
        </is>
      </c>
      <c r="B4" s="20" t="inlineStr">
        <is>
          <t>普惠型(全民统一NZ Super)</t>
        </is>
      </c>
      <c r="C4" s="20" t="inlineStr">
        <is>
          <t>低收入者约61%+</t>
        </is>
      </c>
      <c r="D4" s="20" t="inlineStr">
        <is>
          <t>较低</t>
        </is>
      </c>
      <c r="E4" s="20" t="inlineStr">
        <is>
          <t>无(人人同额)</t>
        </is>
      </c>
      <c r="F4" s="20" t="inlineStr">
        <is>
          <t>最优：彻底去身份化</t>
        </is>
      </c>
    </row>
    <row r="5">
      <c r="A5" s="4" t="inlineStr">
        <is>
          <t>澳大利亚</t>
        </is>
      </c>
      <c r="B5" s="20" t="inlineStr">
        <is>
          <t>保底+强制储蓄</t>
        </is>
      </c>
      <c r="C5" s="20" t="inlineStr">
        <is>
          <t>公共&lt;35%,含Super超60%</t>
        </is>
      </c>
      <c r="D5" s="20" t="inlineStr">
        <is>
          <t>中等</t>
        </is>
      </c>
      <c r="E5" s="20" t="inlineStr">
        <is>
          <t>小(仅资产审查差异)</t>
        </is>
      </c>
      <c r="F5" s="20" t="inlineStr">
        <is>
          <t>兜底有效，再分配温和</t>
        </is>
      </c>
    </row>
    <row r="6">
      <c r="A6" s="4" t="inlineStr">
        <is>
          <t>日本</t>
        </is>
      </c>
      <c r="B6" s="20" t="inlineStr">
        <is>
          <t>双层社会保险</t>
        </is>
      </c>
      <c r="C6" s="20" t="inlineStr">
        <is>
          <t>33-38%</t>
        </is>
      </c>
      <c r="D6" s="20" t="inlineStr">
        <is>
          <t>中等</t>
        </is>
      </c>
      <c r="E6" s="20" t="inlineStr">
        <is>
          <t>小(基础年金全民同额)</t>
        </is>
      </c>
      <c r="F6" s="20" t="inlineStr">
        <is>
          <t>基础层统一，公平性好</t>
        </is>
      </c>
    </row>
    <row r="7">
      <c r="A7" s="4" t="inlineStr">
        <is>
          <t>加拿大</t>
        </is>
      </c>
      <c r="B7" s="20" t="inlineStr">
        <is>
          <t>双层混合(OAS+CPP)</t>
        </is>
      </c>
      <c r="C7" s="20" t="inlineStr">
        <is>
          <t>约37%</t>
        </is>
      </c>
      <c r="D7" s="20" t="inlineStr">
        <is>
          <t>中等</t>
        </is>
      </c>
      <c r="E7" s="20" t="inlineStr">
        <is>
          <t>小</t>
        </is>
      </c>
      <c r="F7" s="20" t="inlineStr">
        <is>
          <t>普惠+缴费双层，均衡</t>
        </is>
      </c>
    </row>
    <row r="8">
      <c r="A8" s="4" t="inlineStr">
        <is>
          <t>美国</t>
        </is>
      </c>
      <c r="B8" s="20" t="inlineStr">
        <is>
          <t>社会保险型</t>
        </is>
      </c>
      <c r="C8" s="20" t="inlineStr">
        <is>
          <t>37-40%</t>
        </is>
      </c>
      <c r="D8" s="20" t="inlineStr">
        <is>
          <t>0.419(发达国家中最高之一)</t>
        </is>
      </c>
      <c r="E8" s="20" t="inlineStr">
        <is>
          <t>小(计发规则统一且累进)</t>
        </is>
      </c>
      <c r="F8" s="20" t="inlineStr">
        <is>
          <t>制度公平，断缴者贫困高</t>
        </is>
      </c>
    </row>
    <row r="9">
      <c r="A9" s="4" t="inlineStr">
        <is>
          <t>欧陆(德法等)</t>
        </is>
      </c>
      <c r="B9" s="20" t="inlineStr">
        <is>
          <t>社会保险型</t>
        </is>
      </c>
      <c r="C9" s="20" t="inlineStr">
        <is>
          <t>德约50%,法约60-75%</t>
        </is>
      </c>
      <c r="D9" s="20" t="inlineStr">
        <is>
          <t>法国较低</t>
        </is>
      </c>
      <c r="E9" s="20" t="inlineStr">
        <is>
          <t>小(职业分割但规则统一)</t>
        </is>
      </c>
      <c r="F9" s="20" t="inlineStr">
        <is>
          <t>规则统一，待遇较高</t>
        </is>
      </c>
    </row>
    <row r="10">
      <c r="A10" s="4" t="inlineStr">
        <is>
          <t>南欧(西/葡等)</t>
        </is>
      </c>
      <c r="B10" s="20" t="inlineStr">
        <is>
          <t>单一公共制度</t>
        </is>
      </c>
      <c r="C10" s="20" t="inlineStr">
        <is>
          <t>75-80%+</t>
        </is>
      </c>
      <c r="D10" s="20" t="inlineStr">
        <is>
          <t>较低</t>
        </is>
      </c>
      <c r="E10" s="20" t="inlineStr">
        <is>
          <t>小</t>
        </is>
      </c>
      <c r="F10" s="20" t="inlineStr">
        <is>
          <t>替代率最高</t>
        </is>
      </c>
    </row>
    <row r="12">
      <c r="A12" s="21" t="inlineStr">
        <is>
          <t>核心结论：发达国家无论何种模式，国内计发规则统一；中国的群体差距源于制度分轨本身，而非收入差异</t>
        </is>
      </c>
    </row>
  </sheetData>
  <mergeCells count="2">
    <mergeCell ref="A1:F1"/>
    <mergeCell ref="A12:F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14" customWidth="1" min="4" max="4"/>
    <col width="22" customWidth="1" min="5" max="5"/>
    <col width="24" customWidth="1" min="6" max="6"/>
    <col width="16" customWidth="1" min="7" max="7"/>
  </cols>
  <sheetData>
    <row r="1" ht="30" customHeight="1">
      <c r="A1" s="1" t="inlineStr">
        <is>
          <t>中国 vs 人均GDP相近国家(±15%及边界国)养老金对比（IMF 2025：中国人均GDP $13,862）</t>
        </is>
      </c>
    </row>
    <row r="2" ht="30" customHeight="1">
      <c r="A2" s="3" t="inlineStr">
        <is>
          <t>国家</t>
        </is>
      </c>
      <c r="B2" s="3" t="inlineStr">
        <is>
          <t>人均GDP($,2025)</t>
        </is>
      </c>
      <c r="C2" s="3" t="inlineStr">
        <is>
          <t>普惠/居民层月待遇(约$)</t>
        </is>
      </c>
      <c r="D2" s="3" t="inlineStr">
        <is>
          <t>该待遇÷人均GDP</t>
        </is>
      </c>
      <c r="E2" s="3" t="inlineStr">
        <is>
          <t>群体间待遇差</t>
        </is>
      </c>
      <c r="F2" s="3" t="inlineStr">
        <is>
          <t>模式</t>
        </is>
      </c>
      <c r="G2" s="3" t="inlineStr">
        <is>
          <t>公平性简评</t>
        </is>
      </c>
    </row>
    <row r="3">
      <c r="A3" s="4" t="inlineStr">
        <is>
          <t>阿根廷</t>
        </is>
      </c>
      <c r="B3" s="20" t="n">
        <v>14898</v>
      </c>
      <c r="C3" s="20" t="n">
        <v>250</v>
      </c>
      <c r="D3" s="20" t="n">
        <v>0.2</v>
      </c>
      <c r="E3" s="20" t="inlineStr">
        <is>
          <t>小(宪法托底最低工资)</t>
        </is>
      </c>
      <c r="F3" s="20" t="inlineStr">
        <is>
          <t>高福利缴费+普惠兜底</t>
        </is>
      </c>
      <c r="G3" s="20" t="inlineStr">
        <is>
          <t>公平性好</t>
        </is>
      </c>
    </row>
    <row r="4">
      <c r="A4" s="4" t="inlineStr">
        <is>
          <t>哈萨克斯坦</t>
        </is>
      </c>
      <c r="B4" s="20" t="n">
        <v>14692</v>
      </c>
      <c r="C4" s="20" t="n">
        <v>170</v>
      </c>
      <c r="D4" s="20" t="n">
        <v>0.14</v>
      </c>
      <c r="E4" s="20" t="inlineStr">
        <is>
          <t>小(基础层统一)</t>
        </is>
      </c>
      <c r="F4" s="20" t="inlineStr">
        <is>
          <t>基础养老金+积累制</t>
        </is>
      </c>
      <c r="G4" s="20" t="inlineStr">
        <is>
          <t>公平性较好</t>
        </is>
      </c>
    </row>
    <row r="5">
      <c r="A5" s="4" t="inlineStr">
        <is>
          <t>墨西哥</t>
        </is>
      </c>
      <c r="B5" s="20" t="n">
        <v>13889</v>
      </c>
      <c r="C5" s="20" t="n">
        <v>170</v>
      </c>
      <c r="D5" s="20" t="n">
        <v>0.15</v>
      </c>
      <c r="E5" s="20" t="inlineStr">
        <is>
          <t>基础层统一65岁全民领</t>
        </is>
      </c>
      <c r="F5" s="20" t="inlineStr">
        <is>
          <t>缴费制+普惠Pensión Bienestar</t>
        </is>
      </c>
      <c r="G5" s="20" t="inlineStr">
        <is>
          <t>普惠层公平</t>
        </is>
      </c>
    </row>
    <row r="6">
      <c r="A6" s="22" t="inlineStr">
        <is>
          <t>中国</t>
        </is>
      </c>
      <c r="B6" s="23" t="n">
        <v>13862</v>
      </c>
      <c r="C6" s="23" t="n">
        <v>38</v>
      </c>
      <c r="D6" s="23" t="n">
        <v>0.033</v>
      </c>
      <c r="E6" s="23" t="inlineStr">
        <is>
          <t>机关vs居民23倍</t>
        </is>
      </c>
      <c r="F6" s="23" t="inlineStr">
        <is>
          <t>分轨制(机关/企业/居民)</t>
        </is>
      </c>
      <c r="G6" s="23" t="inlineStr">
        <is>
          <t>同水平组垫底</t>
        </is>
      </c>
    </row>
    <row r="7">
      <c r="A7" s="4" t="inlineStr">
        <is>
          <t>马来西亚</t>
        </is>
      </c>
      <c r="B7" s="20" t="n">
        <v>13125</v>
      </c>
      <c r="C7" s="20" t="inlineStr">
        <is>
          <t>≈0(无月领制)</t>
        </is>
      </c>
      <c r="D7" s="20" t="inlineStr">
        <is>
          <t>—</t>
        </is>
      </c>
      <c r="E7" s="20" t="inlineStr">
        <is>
          <t>制度内公平但无兜底</t>
        </is>
      </c>
      <c r="F7" s="20" t="inlineStr">
        <is>
          <t>纯EPF强制储蓄</t>
        </is>
      </c>
      <c r="G7" s="20" t="inlineStr">
        <is>
          <t>老年贫困靠救济</t>
        </is>
      </c>
    </row>
    <row r="8">
      <c r="A8" s="4" t="inlineStr">
        <is>
          <t>巴西(-23%)</t>
        </is>
      </c>
      <c r="B8" s="20" t="n">
        <v>10713</v>
      </c>
      <c r="C8" s="20" t="n">
        <v>270</v>
      </c>
      <c r="D8" s="20" t="n">
        <v>0.3</v>
      </c>
      <c r="E8" s="20" t="inlineStr">
        <is>
          <t>小(农村=最低工资)</t>
        </is>
      </c>
      <c r="F8" s="20" t="inlineStr">
        <is>
          <t>缴费+农村特殊制度</t>
        </is>
      </c>
      <c r="G8" s="20" t="inlineStr">
        <is>
          <t>农村待遇最优</t>
        </is>
      </c>
    </row>
    <row r="9">
      <c r="A9" s="4" t="inlineStr">
        <is>
          <t>俄罗斯(+27%)</t>
        </is>
      </c>
      <c r="B9" s="20" t="n">
        <v>17547</v>
      </c>
      <c r="C9" s="20" t="n">
        <v>260</v>
      </c>
      <c r="D9" s="20" t="n">
        <v>0.18</v>
      </c>
      <c r="E9" s="20" t="inlineStr">
        <is>
          <t>小(全国统一)</t>
        </is>
      </c>
      <c r="F9" s="20" t="inlineStr">
        <is>
          <t>统一社会保险</t>
        </is>
      </c>
      <c r="G9" s="20" t="inlineStr">
        <is>
          <t>公平性较好</t>
        </is>
      </c>
    </row>
    <row r="11">
      <c r="A11" s="21" t="inlineStr">
        <is>
          <t>关键发现：人均GDP几乎相同的墨西哥(65岁全民领约$170/月)是中国居民层($38/月)的4.5倍；巴西农民领全额最低工资($270/月)是中国农民的7倍</t>
        </is>
      </c>
    </row>
    <row r="13">
      <c r="A13" t="inlineStr">
        <is>
          <t>普惠/居民层待遇 ÷ 人均GDP（%）</t>
        </is>
      </c>
    </row>
    <row r="14">
      <c r="A14" t="inlineStr">
        <is>
          <t>国家</t>
        </is>
      </c>
      <c r="B14" t="inlineStr">
        <is>
          <t>待遇占比(%)</t>
        </is>
      </c>
    </row>
    <row r="15">
      <c r="A15" t="inlineStr">
        <is>
          <t>阿根廷</t>
        </is>
      </c>
      <c r="B15" t="n">
        <v>20</v>
      </c>
    </row>
    <row r="16">
      <c r="A16" t="inlineStr">
        <is>
          <t>哈萨克</t>
        </is>
      </c>
      <c r="B16" t="n">
        <v>14</v>
      </c>
    </row>
    <row r="17">
      <c r="A17" t="inlineStr">
        <is>
          <t>墨西哥</t>
        </is>
      </c>
      <c r="B17" t="n">
        <v>15</v>
      </c>
    </row>
    <row r="18">
      <c r="A18" t="inlineStr">
        <is>
          <t>中国</t>
        </is>
      </c>
      <c r="B18" t="n">
        <v>3.3</v>
      </c>
    </row>
    <row r="19">
      <c r="A19" t="inlineStr">
        <is>
          <t>巴西</t>
        </is>
      </c>
      <c r="B19" t="n">
        <v>30</v>
      </c>
    </row>
    <row r="20">
      <c r="A20" t="inlineStr">
        <is>
          <t>俄罗斯</t>
        </is>
      </c>
      <c r="B20" t="n">
        <v>18</v>
      </c>
    </row>
  </sheetData>
  <mergeCells count="2">
    <mergeCell ref="A11:G11"/>
    <mergeCell ref="A1:G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2026-10-08T04:25:22Z</dcterms:created>
  <dcterms:modified xsi:type="dcterms:W3CDTF">2026-10-08T05:53:44Z</dcterms:modified>
</cp:coreProperties>
</file>